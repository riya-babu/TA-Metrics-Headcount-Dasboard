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ent Acquisition Projects\"/>
    </mc:Choice>
  </mc:AlternateContent>
  <xr:revisionPtr revIDLastSave="0" documentId="8_{E0ACB833-6B51-4605-8B37-CABAB3BE3727}" xr6:coauthVersionLast="47" xr6:coauthVersionMax="47" xr10:uidLastSave="{00000000-0000-0000-0000-000000000000}"/>
  <bookViews>
    <workbookView xWindow="-108" yWindow="-108" windowWidth="23256" windowHeight="12456" activeTab="1" xr2:uid="{7B872CC2-3718-48C5-BF24-7BE4A67C7D25}"/>
  </bookViews>
  <sheets>
    <sheet name="Scheduling Tracker" sheetId="1" r:id="rId1"/>
    <sheet name="Metrics Dashboard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C5" i="2"/>
  <c r="B5" i="2"/>
  <c r="E4" i="2"/>
  <c r="E3" i="2"/>
  <c r="E2" i="2"/>
</calcChain>
</file>

<file path=xl/sharedStrings.xml><?xml version="1.0" encoding="utf-8"?>
<sst xmlns="http://schemas.openxmlformats.org/spreadsheetml/2006/main" count="118" uniqueCount="63">
  <si>
    <t>Candidate ID</t>
  </si>
  <si>
    <t>Candidate Name</t>
  </si>
  <si>
    <t>Role</t>
  </si>
  <si>
    <t>Interview Stage</t>
  </si>
  <si>
    <t>Scheduled Date</t>
  </si>
  <si>
    <t>Coordinator Status</t>
  </si>
  <si>
    <t>Follow-up Flag</t>
  </si>
  <si>
    <t>TA-201</t>
  </si>
  <si>
    <t>TA-202</t>
  </si>
  <si>
    <t>TA-203</t>
  </si>
  <si>
    <t>TA-204</t>
  </si>
  <si>
    <t>TA-205</t>
  </si>
  <si>
    <t>TA-206</t>
  </si>
  <si>
    <t>TA-207</t>
  </si>
  <si>
    <t>TA-208</t>
  </si>
  <si>
    <t>TA-209</t>
  </si>
  <si>
    <t>TA-210</t>
  </si>
  <si>
    <t>TA-211</t>
  </si>
  <si>
    <t>TA-212</t>
  </si>
  <si>
    <t>TA-213</t>
  </si>
  <si>
    <t>TA-214</t>
  </si>
  <si>
    <t>TA-215</t>
  </si>
  <si>
    <t>TA-216</t>
  </si>
  <si>
    <t>Aarav Mehta</t>
  </si>
  <si>
    <t>Priya Sharma</t>
  </si>
  <si>
    <t>Rohan Das</t>
  </si>
  <si>
    <t>Sneha Reddy</t>
  </si>
  <si>
    <t>Vikram Malhotra</t>
  </si>
  <si>
    <t>Ananya Iyer</t>
  </si>
  <si>
    <t>Kabir Kapoor</t>
  </si>
  <si>
    <t>Meera Nair</t>
  </si>
  <si>
    <t>Arjun Verma</t>
  </si>
  <si>
    <t>Diya Joshi</t>
  </si>
  <si>
    <t>Aditya Rao</t>
  </si>
  <si>
    <t>Ishaan Choudhury</t>
  </si>
  <si>
    <t>Kavya Saxena</t>
  </si>
  <si>
    <t>Riya Pillai</t>
  </si>
  <si>
    <t>Siddharth Shah</t>
  </si>
  <si>
    <t>Tara Banerjee</t>
  </si>
  <si>
    <t>Software Engineer</t>
  </si>
  <si>
    <t>Data Analyst</t>
  </si>
  <si>
    <t>HR Specialist</t>
  </si>
  <si>
    <t>Technical Panel</t>
  </si>
  <si>
    <t>System Design</t>
  </si>
  <si>
    <t>Hiring Manager</t>
  </si>
  <si>
    <t>Initial Screening</t>
  </si>
  <si>
    <t>Offer Discussion</t>
  </si>
  <si>
    <t>Confirmed</t>
  </si>
  <si>
    <t>Completed</t>
  </si>
  <si>
    <t>Pending Confirmation</t>
  </si>
  <si>
    <t>Reschedule Requested</t>
  </si>
  <si>
    <t>Clear</t>
  </si>
  <si>
    <t>Action Required</t>
  </si>
  <si>
    <t>Follow-up Due</t>
  </si>
  <si>
    <t>clear</t>
  </si>
  <si>
    <t>Target Headcount</t>
  </si>
  <si>
    <t>Offers Extended</t>
  </si>
  <si>
    <t>Offers Accepted</t>
  </si>
  <si>
    <t>Remaining  Vacancies</t>
  </si>
  <si>
    <t>TOTAL</t>
  </si>
  <si>
    <t>Row Labels</t>
  </si>
  <si>
    <t>Grand Total</t>
  </si>
  <si>
    <t>Count of Candidate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</si>
</sst>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0" fontId="3" fillId="0" borderId="0" xfId="0" applyFont="1"/>
    <xf numFmtId="0" fontId="5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 Metrics &amp; Headcount Dashboard.xlsx]Metrics Dashboard!PivotTable1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 Dashboard'!$B$8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'Metrics Dashboard'!$A$9:$A$12</c:f>
              <c:strCache>
                <c:ptCount val="3"/>
                <c:pt idx="0">
                  <c:v>Data Analyst</c:v>
                </c:pt>
                <c:pt idx="1">
                  <c:v>HR Specialist</c:v>
                </c:pt>
                <c:pt idx="2">
                  <c:v>Software Engineer</c:v>
                </c:pt>
              </c:strCache>
            </c:strRef>
          </c:cat>
          <c:val>
            <c:numRef>
              <c:f>'Metrics Dashboard'!$B$9:$B$12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0-4F5C-905F-CA36E8E19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040144"/>
        <c:axId val="536058864"/>
      </c:barChart>
      <c:catAx>
        <c:axId val="53604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58864"/>
        <c:crosses val="autoZero"/>
        <c:auto val="1"/>
        <c:lblAlgn val="ctr"/>
        <c:lblOffset val="100"/>
        <c:noMultiLvlLbl val="0"/>
      </c:catAx>
      <c:valAx>
        <c:axId val="53605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4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6</xdr:row>
      <xdr:rowOff>163830</xdr:rowOff>
    </xdr:from>
    <xdr:to>
      <xdr:col>9</xdr:col>
      <xdr:colOff>571500</xdr:colOff>
      <xdr:row>21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B525C-9775-30CC-1594-A5EEF0B71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6.310576851851" createdVersion="8" refreshedVersion="8" minRefreshableVersion="3" recordCount="16" xr:uid="{FD6D86C3-6FB1-4E15-A556-61CAC2C963C0}">
  <cacheSource type="worksheet">
    <worksheetSource ref="A1:G17" sheet="Scheduling Tracker"/>
  </cacheSource>
  <cacheFields count="7">
    <cacheField name="Candidate ID" numFmtId="0">
      <sharedItems/>
    </cacheField>
    <cacheField name="Candidate Name" numFmtId="0">
      <sharedItems/>
    </cacheField>
    <cacheField name="Role" numFmtId="0">
      <sharedItems count="3">
        <s v="Software Engineer"/>
        <s v="Data Analyst"/>
        <s v="HR Specialist"/>
      </sharedItems>
    </cacheField>
    <cacheField name="Interview Stage" numFmtId="0">
      <sharedItems/>
    </cacheField>
    <cacheField name="Scheduled Date" numFmtId="15">
      <sharedItems containsSemiMixedTypes="0" containsNonDate="0" containsDate="1" containsString="0" minDate="2026-06-04T00:00:00" maxDate="2026-07-01T00:00:00"/>
    </cacheField>
    <cacheField name="Coordinator Status" numFmtId="0">
      <sharedItems/>
    </cacheField>
    <cacheField name="Follow-up 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TA-201"/>
    <s v="Aarav Mehta"/>
    <x v="0"/>
    <s v="Technical Panel"/>
    <d v="2026-06-22T00:00:00"/>
    <s v="Confirmed"/>
    <s v="Clear"/>
  </r>
  <r>
    <s v="TA-202"/>
    <s v="Priya Sharma"/>
    <x v="0"/>
    <s v="System Design"/>
    <d v="2026-06-23T00:00:00"/>
    <s v="Reschedule Requested"/>
    <s v="Action Required"/>
  </r>
  <r>
    <s v="TA-203"/>
    <s v="Rohan Das"/>
    <x v="1"/>
    <s v="Hiring Manager"/>
    <d v="2026-06-22T00:00:00"/>
    <s v="Completed"/>
    <s v="Clear"/>
  </r>
  <r>
    <s v="TA-204"/>
    <s v="Sneha Reddy"/>
    <x v="2"/>
    <s v="Initial Screening"/>
    <d v="2026-06-24T00:00:00"/>
    <s v="Pending Confirmation"/>
    <s v="Follow-up Due"/>
  </r>
  <r>
    <s v="TA-205"/>
    <s v="Vikram Malhotra"/>
    <x v="0"/>
    <s v="Technical Panel"/>
    <d v="2026-06-25T00:00:00"/>
    <s v="Confirmed"/>
    <s v="Clear"/>
  </r>
  <r>
    <s v="TA-206"/>
    <s v="Ananya Iyer"/>
    <x v="1"/>
    <s v="Technical Panel"/>
    <d v="2026-06-23T00:00:00"/>
    <s v="Confirmed"/>
    <s v="Clear"/>
  </r>
  <r>
    <s v="TA-207"/>
    <s v="Kabir Kapoor"/>
    <x v="2"/>
    <s v="Hiring Manager"/>
    <d v="2026-06-22T00:00:00"/>
    <s v="Completed"/>
    <s v="Clear"/>
  </r>
  <r>
    <s v="TA-208"/>
    <s v="Meera Nair"/>
    <x v="0"/>
    <s v="Offer Discussion"/>
    <d v="2026-06-26T00:00:00"/>
    <s v="Confirmed"/>
    <s v="Clear"/>
  </r>
  <r>
    <s v="TA-209"/>
    <s v="Arjun Verma"/>
    <x v="1"/>
    <s v="Initial Screening"/>
    <d v="2026-06-25T00:00:00"/>
    <s v="Pending Confirmation"/>
    <s v="Follow-up Due"/>
  </r>
  <r>
    <s v="TA-210"/>
    <s v="Diya Joshi"/>
    <x v="0"/>
    <s v="System Design"/>
    <d v="2026-06-24T00:00:00"/>
    <s v="Confirmed"/>
    <s v="Clear"/>
  </r>
  <r>
    <s v="TA-211"/>
    <s v="Aditya Rao"/>
    <x v="2"/>
    <s v="Technical Panel"/>
    <d v="2026-06-26T00:00:00"/>
    <s v="Confirmed"/>
    <s v="Clear"/>
  </r>
  <r>
    <s v="TA-212"/>
    <s v="Ishaan Choudhury"/>
    <x v="1"/>
    <s v="Hiring Manager"/>
    <d v="2026-06-23T00:00:00"/>
    <s v="Confirmed"/>
    <s v="Action Required"/>
  </r>
  <r>
    <s v="TA-213"/>
    <s v="Kavya Saxena"/>
    <x v="0"/>
    <s v="Initial Screening"/>
    <d v="2026-06-27T00:00:00"/>
    <s v="Confirmed"/>
    <s v="Clear"/>
  </r>
  <r>
    <s v="TA-214"/>
    <s v="Riya Pillai"/>
    <x v="1"/>
    <s v="Offer Discussion"/>
    <d v="2026-06-29T00:00:00"/>
    <s v="Confirmed"/>
    <s v="Clear"/>
  </r>
  <r>
    <s v="TA-215"/>
    <s v="Siddharth Shah"/>
    <x v="2"/>
    <s v="Offer Discussion"/>
    <d v="2026-06-30T00:00:00"/>
    <s v="Confirmed"/>
    <s v="Clear"/>
  </r>
  <r>
    <s v="TA-216"/>
    <s v="Tara Banerjee"/>
    <x v="0"/>
    <s v="Hiring Manager"/>
    <d v="2026-06-04T00:00:00"/>
    <s v="Completed"/>
    <s v="Cle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CF981-61C2-4B38-BC18-DEE383B7705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8:B12" firstHeaderRow="1" firstDataRow="1" firstDataCol="1"/>
  <pivotFields count="7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5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ndidat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9491-63B9-42C6-9765-86FAF3796C8D}">
  <dimension ref="A1:G17"/>
  <sheetViews>
    <sheetView workbookViewId="0">
      <selection sqref="A1:G17"/>
    </sheetView>
  </sheetViews>
  <sheetFormatPr defaultRowHeight="14.4" x14ac:dyDescent="0.3"/>
  <cols>
    <col min="1" max="1" width="19.88671875" customWidth="1"/>
    <col min="2" max="2" width="21.33203125" customWidth="1"/>
    <col min="3" max="3" width="16.109375" customWidth="1"/>
    <col min="4" max="4" width="16" customWidth="1"/>
    <col min="5" max="5" width="16.21875" customWidth="1"/>
    <col min="6" max="6" width="19.33203125" customWidth="1"/>
    <col min="7" max="7" width="20.21875" customWidth="1"/>
  </cols>
  <sheetData>
    <row r="1" spans="1: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t="s">
        <v>23</v>
      </c>
      <c r="C2" t="s">
        <v>39</v>
      </c>
      <c r="D2" t="s">
        <v>42</v>
      </c>
      <c r="E2" s="2">
        <v>46195</v>
      </c>
      <c r="F2" t="s">
        <v>47</v>
      </c>
      <c r="G2" t="s">
        <v>51</v>
      </c>
    </row>
    <row r="3" spans="1:7" x14ac:dyDescent="0.3">
      <c r="A3" t="s">
        <v>8</v>
      </c>
      <c r="B3" t="s">
        <v>24</v>
      </c>
      <c r="C3" t="s">
        <v>39</v>
      </c>
      <c r="D3" t="s">
        <v>43</v>
      </c>
      <c r="E3" s="2">
        <v>46196</v>
      </c>
      <c r="F3" t="s">
        <v>50</v>
      </c>
      <c r="G3" t="s">
        <v>52</v>
      </c>
    </row>
    <row r="4" spans="1:7" x14ac:dyDescent="0.3">
      <c r="A4" t="s">
        <v>9</v>
      </c>
      <c r="B4" t="s">
        <v>25</v>
      </c>
      <c r="C4" t="s">
        <v>40</v>
      </c>
      <c r="D4" t="s">
        <v>44</v>
      </c>
      <c r="E4" s="2">
        <v>46195</v>
      </c>
      <c r="F4" t="s">
        <v>48</v>
      </c>
      <c r="G4" t="s">
        <v>51</v>
      </c>
    </row>
    <row r="5" spans="1:7" x14ac:dyDescent="0.3">
      <c r="A5" t="s">
        <v>10</v>
      </c>
      <c r="B5" t="s">
        <v>26</v>
      </c>
      <c r="C5" t="s">
        <v>41</v>
      </c>
      <c r="D5" t="s">
        <v>45</v>
      </c>
      <c r="E5" s="2">
        <v>46197</v>
      </c>
      <c r="F5" t="s">
        <v>49</v>
      </c>
      <c r="G5" t="s">
        <v>53</v>
      </c>
    </row>
    <row r="6" spans="1:7" x14ac:dyDescent="0.3">
      <c r="A6" t="s">
        <v>11</v>
      </c>
      <c r="B6" t="s">
        <v>27</v>
      </c>
      <c r="C6" t="s">
        <v>39</v>
      </c>
      <c r="D6" t="s">
        <v>42</v>
      </c>
      <c r="E6" s="2">
        <v>46198</v>
      </c>
      <c r="F6" t="s">
        <v>47</v>
      </c>
      <c r="G6" t="s">
        <v>51</v>
      </c>
    </row>
    <row r="7" spans="1:7" x14ac:dyDescent="0.3">
      <c r="A7" t="s">
        <v>12</v>
      </c>
      <c r="B7" t="s">
        <v>28</v>
      </c>
      <c r="C7" t="s">
        <v>40</v>
      </c>
      <c r="D7" t="s">
        <v>42</v>
      </c>
      <c r="E7" s="2">
        <v>46196</v>
      </c>
      <c r="F7" t="s">
        <v>47</v>
      </c>
      <c r="G7" t="s">
        <v>51</v>
      </c>
    </row>
    <row r="8" spans="1:7" x14ac:dyDescent="0.3">
      <c r="A8" t="s">
        <v>13</v>
      </c>
      <c r="B8" t="s">
        <v>29</v>
      </c>
      <c r="C8" t="s">
        <v>41</v>
      </c>
      <c r="D8" t="s">
        <v>44</v>
      </c>
      <c r="E8" s="2">
        <v>46195</v>
      </c>
      <c r="F8" t="s">
        <v>48</v>
      </c>
      <c r="G8" t="s">
        <v>51</v>
      </c>
    </row>
    <row r="9" spans="1:7" x14ac:dyDescent="0.3">
      <c r="A9" t="s">
        <v>14</v>
      </c>
      <c r="B9" t="s">
        <v>30</v>
      </c>
      <c r="C9" t="s">
        <v>39</v>
      </c>
      <c r="D9" t="s">
        <v>46</v>
      </c>
      <c r="E9" s="2">
        <v>46199</v>
      </c>
      <c r="F9" t="s">
        <v>47</v>
      </c>
      <c r="G9" t="s">
        <v>51</v>
      </c>
    </row>
    <row r="10" spans="1:7" x14ac:dyDescent="0.3">
      <c r="A10" t="s">
        <v>15</v>
      </c>
      <c r="B10" t="s">
        <v>31</v>
      </c>
      <c r="C10" t="s">
        <v>40</v>
      </c>
      <c r="D10" t="s">
        <v>45</v>
      </c>
      <c r="E10" s="2">
        <v>46198</v>
      </c>
      <c r="F10" t="s">
        <v>49</v>
      </c>
      <c r="G10" t="s">
        <v>53</v>
      </c>
    </row>
    <row r="11" spans="1:7" x14ac:dyDescent="0.3">
      <c r="A11" t="s">
        <v>16</v>
      </c>
      <c r="B11" t="s">
        <v>32</v>
      </c>
      <c r="C11" t="s">
        <v>39</v>
      </c>
      <c r="D11" t="s">
        <v>43</v>
      </c>
      <c r="E11" s="2">
        <v>46197</v>
      </c>
      <c r="F11" t="s">
        <v>47</v>
      </c>
      <c r="G11" t="s">
        <v>54</v>
      </c>
    </row>
    <row r="12" spans="1:7" x14ac:dyDescent="0.3">
      <c r="A12" t="s">
        <v>17</v>
      </c>
      <c r="B12" t="s">
        <v>33</v>
      </c>
      <c r="C12" t="s">
        <v>41</v>
      </c>
      <c r="D12" t="s">
        <v>42</v>
      </c>
      <c r="E12" s="2">
        <v>46199</v>
      </c>
      <c r="F12" t="s">
        <v>47</v>
      </c>
      <c r="G12" t="s">
        <v>54</v>
      </c>
    </row>
    <row r="13" spans="1:7" x14ac:dyDescent="0.3">
      <c r="A13" t="s">
        <v>18</v>
      </c>
      <c r="B13" t="s">
        <v>34</v>
      </c>
      <c r="C13" t="s">
        <v>40</v>
      </c>
      <c r="D13" t="s">
        <v>44</v>
      </c>
      <c r="E13" s="2">
        <v>46196</v>
      </c>
      <c r="F13" t="s">
        <v>47</v>
      </c>
      <c r="G13" t="s">
        <v>52</v>
      </c>
    </row>
    <row r="14" spans="1:7" x14ac:dyDescent="0.3">
      <c r="A14" t="s">
        <v>19</v>
      </c>
      <c r="B14" t="s">
        <v>35</v>
      </c>
      <c r="C14" t="s">
        <v>39</v>
      </c>
      <c r="D14" t="s">
        <v>45</v>
      </c>
      <c r="E14" s="2">
        <v>46200</v>
      </c>
      <c r="F14" t="s">
        <v>47</v>
      </c>
      <c r="G14" t="s">
        <v>54</v>
      </c>
    </row>
    <row r="15" spans="1:7" x14ac:dyDescent="0.3">
      <c r="A15" t="s">
        <v>20</v>
      </c>
      <c r="B15" t="s">
        <v>36</v>
      </c>
      <c r="C15" t="s">
        <v>40</v>
      </c>
      <c r="D15" t="s">
        <v>46</v>
      </c>
      <c r="E15" s="2">
        <v>46202</v>
      </c>
      <c r="F15" t="s">
        <v>47</v>
      </c>
      <c r="G15" t="s">
        <v>54</v>
      </c>
    </row>
    <row r="16" spans="1:7" x14ac:dyDescent="0.3">
      <c r="A16" t="s">
        <v>21</v>
      </c>
      <c r="B16" t="s">
        <v>37</v>
      </c>
      <c r="C16" t="s">
        <v>41</v>
      </c>
      <c r="D16" t="s">
        <v>46</v>
      </c>
      <c r="E16" s="2">
        <v>46203</v>
      </c>
      <c r="F16" t="s">
        <v>47</v>
      </c>
      <c r="G16" t="s">
        <v>54</v>
      </c>
    </row>
    <row r="17" spans="1:7" x14ac:dyDescent="0.3">
      <c r="A17" t="s">
        <v>22</v>
      </c>
      <c r="B17" t="s">
        <v>38</v>
      </c>
      <c r="C17" t="s">
        <v>39</v>
      </c>
      <c r="D17" t="s">
        <v>44</v>
      </c>
      <c r="E17" s="2">
        <v>46177</v>
      </c>
      <c r="F17" t="s">
        <v>48</v>
      </c>
      <c r="G17" t="s">
        <v>54</v>
      </c>
    </row>
  </sheetData>
  <phoneticPr fontId="2" type="noConversion"/>
  <conditionalFormatting sqref="G2:G17">
    <cfRule type="containsText" dxfId="0" priority="3" operator="containsText" text="Action Required">
      <formula>NOT(ISERROR(SEARCH("Action Required",G2)))</formula>
    </cfRule>
    <cfRule type="containsText" dxfId="1" priority="2" operator="containsText" text="Follow up due">
      <formula>NOT(ISERROR(SEARCH("Follow up due",G2)))</formula>
    </cfRule>
    <cfRule type="containsText" dxfId="2" priority="1" operator="containsText" text="Follow-up Due">
      <formula>NOT(ISERROR(SEARCH("Follow-up Due",G2)))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FEB7-212E-417A-9F01-64A8C2B546E1}">
  <dimension ref="A1:E12"/>
  <sheetViews>
    <sheetView tabSelected="1" topLeftCell="A3" workbookViewId="0">
      <selection activeCell="C13" sqref="C13"/>
    </sheetView>
  </sheetViews>
  <sheetFormatPr defaultRowHeight="14.4" x14ac:dyDescent="0.3"/>
  <cols>
    <col min="1" max="1" width="16" bestFit="1" customWidth="1"/>
    <col min="2" max="2" width="19.77734375" bestFit="1" customWidth="1"/>
    <col min="3" max="3" width="15" customWidth="1"/>
    <col min="4" max="4" width="23.6640625" customWidth="1"/>
    <col min="5" max="5" width="24.88671875" customWidth="1"/>
  </cols>
  <sheetData>
    <row r="1" spans="1:5" ht="36.6" customHeight="1" thickBot="1" x14ac:dyDescent="0.35">
      <c r="A1" s="1" t="s">
        <v>2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ht="55.8" thickBot="1" x14ac:dyDescent="0.35">
      <c r="A2" s="4" t="s">
        <v>39</v>
      </c>
      <c r="B2" s="5">
        <v>5</v>
      </c>
      <c r="C2" s="5">
        <v>3</v>
      </c>
      <c r="D2" s="5">
        <v>2</v>
      </c>
      <c r="E2" s="5">
        <f>B2-D2</f>
        <v>3</v>
      </c>
    </row>
    <row r="3" spans="1:5" ht="42" thickBot="1" x14ac:dyDescent="0.35">
      <c r="A3" s="4" t="s">
        <v>40</v>
      </c>
      <c r="B3" s="5">
        <v>3</v>
      </c>
      <c r="C3" s="5">
        <v>2</v>
      </c>
      <c r="D3" s="5">
        <v>1</v>
      </c>
      <c r="E3" s="5">
        <f>B3-D3</f>
        <v>2</v>
      </c>
    </row>
    <row r="4" spans="1:5" ht="15" thickBot="1" x14ac:dyDescent="0.35">
      <c r="A4" s="4" t="s">
        <v>41</v>
      </c>
      <c r="B4" s="5">
        <v>2</v>
      </c>
      <c r="C4" s="5">
        <v>1</v>
      </c>
      <c r="D4" s="5">
        <v>1</v>
      </c>
      <c r="E4" s="5">
        <f>B4-D4</f>
        <v>1</v>
      </c>
    </row>
    <row r="5" spans="1:5" ht="33" customHeight="1" thickBot="1" x14ac:dyDescent="0.35">
      <c r="A5" s="4" t="s">
        <v>59</v>
      </c>
      <c r="B5" s="5">
        <f>SUM(B2:B4)</f>
        <v>10</v>
      </c>
      <c r="C5" s="5">
        <f>SUM(C2:C4)</f>
        <v>6</v>
      </c>
      <c r="D5">
        <f>SUM(D2:D4)</f>
        <v>4</v>
      </c>
      <c r="E5">
        <f>SUM(E2:E4)</f>
        <v>6</v>
      </c>
    </row>
    <row r="8" spans="1:5" ht="30.6" customHeight="1" x14ac:dyDescent="0.3">
      <c r="A8" s="6" t="s">
        <v>60</v>
      </c>
      <c r="B8" t="s">
        <v>62</v>
      </c>
    </row>
    <row r="9" spans="1:5" x14ac:dyDescent="0.3">
      <c r="A9" s="7" t="s">
        <v>40</v>
      </c>
      <c r="B9" s="8">
        <v>5</v>
      </c>
    </row>
    <row r="10" spans="1:5" x14ac:dyDescent="0.3">
      <c r="A10" s="7" t="s">
        <v>41</v>
      </c>
      <c r="B10" s="8">
        <v>4</v>
      </c>
    </row>
    <row r="11" spans="1:5" x14ac:dyDescent="0.3">
      <c r="A11" s="7" t="s">
        <v>39</v>
      </c>
      <c r="B11" s="8">
        <v>7</v>
      </c>
    </row>
    <row r="12" spans="1:5" x14ac:dyDescent="0.3">
      <c r="A12" s="7" t="s">
        <v>61</v>
      </c>
      <c r="B12" s="8">
        <v>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Scheduling Tracker</vt:lpstr>
      <vt:lpstr>Metrics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BABU</dc:creator>
  <cp:lastModifiedBy>RIYA BABU</cp:lastModifiedBy>
  <dcterms:created xsi:type="dcterms:W3CDTF">2026-06-23T00:45:28Z</dcterms:created>
  <dcterms:modified xsi:type="dcterms:W3CDTF">2026-06-23T02:01:45Z</dcterms:modified>
</cp:coreProperties>
</file>